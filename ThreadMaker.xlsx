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28515" windowHeight="12825"/>
  </bookViews>
  <sheets>
    <sheet name="Threads" sheetId="1" r:id="rId1"/>
  </sheets>
  <calcPr calcId="125725"/>
</workbook>
</file>

<file path=xl/calcChain.xml><?xml version="1.0" encoding="utf-8"?>
<calcChain xmlns="http://schemas.openxmlformats.org/spreadsheetml/2006/main">
  <c r="I35" i="1"/>
  <c r="I34"/>
  <c r="I33"/>
  <c r="I32"/>
  <c r="I30"/>
  <c r="G30"/>
  <c r="I28"/>
  <c r="I27"/>
  <c r="I26"/>
  <c r="I25"/>
  <c r="G23"/>
  <c r="I23" s="1"/>
  <c r="I21"/>
  <c r="I20"/>
  <c r="I19"/>
  <c r="G18"/>
  <c r="G17"/>
  <c r="I17" s="1"/>
  <c r="G16"/>
  <c r="I16" s="1"/>
  <c r="I15"/>
  <c r="I14"/>
  <c r="I13"/>
  <c r="I12"/>
  <c r="I11"/>
  <c r="I10"/>
  <c r="I9"/>
  <c r="I8"/>
  <c r="I7"/>
  <c r="I18" l="1"/>
  <c r="G24"/>
  <c r="I24" s="1"/>
  <c r="G36"/>
  <c r="G22" s="1"/>
  <c r="I22" s="1"/>
  <c r="G29"/>
  <c r="I29" s="1"/>
  <c r="G31" l="1"/>
  <c r="I31" s="1"/>
</calcChain>
</file>

<file path=xl/comments1.xml><?xml version="1.0" encoding="utf-8"?>
<comments xmlns="http://schemas.openxmlformats.org/spreadsheetml/2006/main">
  <authors>
    <author>Andie Garford-Tull</author>
  </authors>
  <commentList>
    <comment ref="G18" authorId="0">
      <text>
        <r>
          <rPr>
            <b/>
            <sz val="9"/>
            <color indexed="81"/>
            <rFont val="Tahoma"/>
            <family val="2"/>
          </rPr>
          <t>Pitch matched to linear best fit lines of ISO M series. M series is not linear so 2 lines chosen. Above or below M17.</t>
        </r>
      </text>
    </comment>
    <comment ref="G36" authorId="0">
      <text>
        <r>
          <rPr>
            <b/>
            <sz val="9"/>
            <color indexed="81"/>
            <rFont val="Tahoma"/>
            <family val="2"/>
          </rPr>
          <t>Truncation of thread points.
1/10th of height.
Height = 0.5 pitch
x2 for diameter</t>
        </r>
      </text>
    </comment>
  </commentList>
</comments>
</file>

<file path=xl/sharedStrings.xml><?xml version="1.0" encoding="utf-8"?>
<sst xmlns="http://schemas.openxmlformats.org/spreadsheetml/2006/main" count="68" uniqueCount="48">
  <si>
    <t>F360 Threads</t>
  </si>
  <si>
    <t>https://knowledge.autodesk.com/support/fusion-360/learn-explore/caas/sfdcarticles/sfdcarticles/Custom-Threads-in-Fusion-360.html#:~:text=To%20create%20a%20custom%20threaded,to%20hidden%20files%20and%20directories.</t>
  </si>
  <si>
    <t>Template to create threads from.</t>
  </si>
  <si>
    <t>XML template (DO NOT EDIT)</t>
  </si>
  <si>
    <t>Edit red cells</t>
  </si>
  <si>
    <t>XML Output (COPY/PASTE)</t>
  </si>
  <si>
    <t>INSERT BELOW</t>
  </si>
  <si>
    <t>&lt;ThreadType&gt;</t>
  </si>
  <si>
    <t xml:space="preserve">  &lt;Name&gt;[insert]&lt;/Name&gt;</t>
  </si>
  <si>
    <t>3DPrintThread</t>
  </si>
  <si>
    <t xml:space="preserve">  &lt;CustomName&gt;[insert]&lt;/CustomName&gt;</t>
  </si>
  <si>
    <t xml:space="preserve">  &lt;Unit&gt;[insert]&lt;/Unit&gt;</t>
  </si>
  <si>
    <t>mm</t>
  </si>
  <si>
    <t xml:space="preserve">  &lt;Angle&gt;[insert]&lt;/Angle&gt;</t>
  </si>
  <si>
    <t xml:space="preserve">  &lt;SortOrder&gt;[insert]&lt;/SortOrder&gt;</t>
  </si>
  <si>
    <t xml:space="preserve">  &lt;ThreadSize&gt;</t>
  </si>
  <si>
    <t xml:space="preserve">    &lt;Size&gt;[insert]&lt;/Size&gt;</t>
  </si>
  <si>
    <t xml:space="preserve">    &lt;Designation&gt;</t>
  </si>
  <si>
    <t xml:space="preserve">      &lt;ThreadDesignation&gt;[insert]&lt;/ThreadDesignation&gt;</t>
  </si>
  <si>
    <t xml:space="preserve">      &lt;CTD&gt;[insert]&lt;/CTD&gt;</t>
  </si>
  <si>
    <t xml:space="preserve">      &lt;Pitch&gt;[insert]&lt;/Pitch&gt;</t>
  </si>
  <si>
    <t xml:space="preserve">      &lt;Thread&gt;</t>
  </si>
  <si>
    <t xml:space="preserve">        &lt;Gender&gt;external&lt;/Gender&gt;</t>
  </si>
  <si>
    <t xml:space="preserve">        &lt;Class&gt;[insert]&lt;/Class&gt;</t>
  </si>
  <si>
    <t xml:space="preserve">        &lt;MajorDia&gt;[insert]&lt;/MajorDia&gt;</t>
  </si>
  <si>
    <t xml:space="preserve">        &lt;PitchDia&gt;[insert]&lt;/PitchDia&gt;</t>
  </si>
  <si>
    <t xml:space="preserve">        &lt;MinorDia&gt;[insert]&lt;/MinorDia&gt;</t>
  </si>
  <si>
    <t xml:space="preserve">      &lt;/Thread&gt;</t>
  </si>
  <si>
    <t xml:space="preserve">        &lt;Gender&gt;internal&lt;/Gender&gt;</t>
  </si>
  <si>
    <t xml:space="preserve">    &lt;/Designation&gt;</t>
  </si>
  <si>
    <t xml:space="preserve">  &lt;/ThreadSize&gt;</t>
  </si>
  <si>
    <t>&lt;/ThreadType&gt;</t>
  </si>
  <si>
    <t>Truncation</t>
  </si>
  <si>
    <t>Directions</t>
  </si>
  <si>
    <t>Edit red text to create a series of threads with a tolerance class. Here, the class is equal to the gap between the bolt (external) and nut (internal).</t>
  </si>
  <si>
    <t xml:space="preserve">Copy text on the right I7:I35 to an XML file in the folder linked here: </t>
  </si>
  <si>
    <t>When adding mulitple pitches/classes, be careful to only add the data required. i.e. 'Designation' for 'pitch' (I15:I33) and 'thread' for 'class' (I19:I32).</t>
  </si>
  <si>
    <t>Threads are determined by the (angle) betweent the threads. 90 degree angle = 45 degree thread slope.</t>
  </si>
  <si>
    <t>Threads are 45 degree</t>
  </si>
  <si>
    <t>Int</t>
  </si>
  <si>
    <t>Ext</t>
  </si>
  <si>
    <t>Maj</t>
  </si>
  <si>
    <t>Min</t>
  </si>
  <si>
    <t>Clss</t>
  </si>
  <si>
    <t>+</t>
  </si>
  <si>
    <t>-</t>
  </si>
  <si>
    <t>Trun</t>
  </si>
  <si>
    <t>H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</si>
</sst>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#.0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4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tabSelected="1" workbookViewId="0">
      <selection activeCell="G36" sqref="G36"/>
    </sheetView>
  </sheetViews>
  <sheetFormatPr defaultRowHeight="15"/>
  <sheetData>
    <row r="1" spans="1:22">
      <c r="A1" s="1" t="s">
        <v>0</v>
      </c>
      <c r="B1" t="s">
        <v>1</v>
      </c>
    </row>
    <row r="3" spans="1:22">
      <c r="A3" t="s">
        <v>2</v>
      </c>
    </row>
    <row r="4" spans="1:22">
      <c r="G4" s="2"/>
    </row>
    <row r="5" spans="1:22">
      <c r="A5" t="s">
        <v>3</v>
      </c>
      <c r="G5" t="s">
        <v>4</v>
      </c>
      <c r="H5" s="3"/>
      <c r="I5" t="s">
        <v>5</v>
      </c>
    </row>
    <row r="6" spans="1:22">
      <c r="G6" s="1" t="s">
        <v>6</v>
      </c>
    </row>
    <row r="7" spans="1:22">
      <c r="A7" t="s">
        <v>7</v>
      </c>
      <c r="I7" t="str">
        <f t="shared" ref="I7:I35" si="0">IF(ISBLANK(G7),A7,REPLACE(A7,FIND("[",A7),8,G7))</f>
        <v>&lt;ThreadType&gt;</v>
      </c>
    </row>
    <row r="8" spans="1:22">
      <c r="A8" t="s">
        <v>8</v>
      </c>
      <c r="G8" s="1" t="s">
        <v>9</v>
      </c>
      <c r="I8" t="str">
        <f t="shared" si="0"/>
        <v xml:space="preserve">  &lt;Name&gt;3DPrintThread&lt;/Name&gt;</v>
      </c>
      <c r="S8" s="4"/>
    </row>
    <row r="9" spans="1:22">
      <c r="A9" t="s">
        <v>10</v>
      </c>
      <c r="G9" s="1" t="s">
        <v>9</v>
      </c>
      <c r="I9" t="str">
        <f t="shared" si="0"/>
        <v xml:space="preserve">  &lt;CustomName&gt;3DPrintThread&lt;/CustomName&gt;</v>
      </c>
      <c r="S9" s="4"/>
      <c r="U9" s="4"/>
      <c r="V9" s="4"/>
    </row>
    <row r="10" spans="1:22">
      <c r="A10" t="s">
        <v>11</v>
      </c>
      <c r="G10" s="5" t="s">
        <v>12</v>
      </c>
      <c r="I10" t="str">
        <f t="shared" si="0"/>
        <v xml:space="preserve">  &lt;Unit&gt;mm&lt;/Unit&gt;</v>
      </c>
      <c r="S10" s="4"/>
    </row>
    <row r="11" spans="1:22">
      <c r="A11" t="s">
        <v>13</v>
      </c>
      <c r="G11" s="5">
        <v>90</v>
      </c>
      <c r="I11" t="str">
        <f t="shared" si="0"/>
        <v xml:space="preserve">  &lt;Angle&gt;90&lt;/Angle&gt;</v>
      </c>
    </row>
    <row r="12" spans="1:22">
      <c r="A12" t="s">
        <v>14</v>
      </c>
      <c r="G12" s="5">
        <v>1</v>
      </c>
      <c r="I12" t="str">
        <f t="shared" si="0"/>
        <v xml:space="preserve">  &lt;SortOrder&gt;1&lt;/SortOrder&gt;</v>
      </c>
    </row>
    <row r="13" spans="1:22">
      <c r="A13" t="s">
        <v>15</v>
      </c>
      <c r="G13" s="5"/>
      <c r="I13" t="str">
        <f t="shared" si="0"/>
        <v xml:space="preserve">  &lt;ThreadSize&gt;</v>
      </c>
    </row>
    <row r="14" spans="1:22">
      <c r="A14" t="s">
        <v>16</v>
      </c>
      <c r="G14" s="6">
        <v>5</v>
      </c>
      <c r="I14" t="str">
        <f t="shared" si="0"/>
        <v xml:space="preserve">    &lt;Size&gt;5&lt;/Size&gt;</v>
      </c>
    </row>
    <row r="15" spans="1:22">
      <c r="A15" t="s">
        <v>17</v>
      </c>
      <c r="G15" s="5"/>
      <c r="I15" t="str">
        <f t="shared" si="0"/>
        <v xml:space="preserve">    &lt;Designation&gt;</v>
      </c>
    </row>
    <row r="16" spans="1:22">
      <c r="A16" t="s">
        <v>18</v>
      </c>
      <c r="G16" s="5" t="str">
        <f>"3D"&amp;G14&amp;"x"&amp;FIXED(G18,1)</f>
        <v>3D5x0.9</v>
      </c>
      <c r="I16" t="str">
        <f t="shared" si="0"/>
        <v xml:space="preserve">      &lt;ThreadDesignation&gt;3D5x0.9&lt;/ThreadDesignation&gt;</v>
      </c>
    </row>
    <row r="17" spans="1:9">
      <c r="A17" t="s">
        <v>19</v>
      </c>
      <c r="G17" s="5" t="str">
        <f>"3D"&amp;G14&amp;"x"&amp;FIXED(G18,1)</f>
        <v>3D5x0.9</v>
      </c>
      <c r="I17" t="str">
        <f t="shared" si="0"/>
        <v xml:space="preserve">      &lt;CTD&gt;3D5x0.9&lt;/CTD&gt;</v>
      </c>
    </row>
    <row r="18" spans="1:9">
      <c r="A18" t="s">
        <v>20</v>
      </c>
      <c r="G18" s="7" t="str">
        <f>FIXED(IF(G14&lt;17,0.12*G14+0.25,0.0785*G14+1),3)</f>
        <v>0.850</v>
      </c>
      <c r="I18" t="str">
        <f t="shared" si="0"/>
        <v xml:space="preserve">      &lt;Pitch&gt;0.850&lt;/Pitch&gt;</v>
      </c>
    </row>
    <row r="19" spans="1:9">
      <c r="A19" t="s">
        <v>21</v>
      </c>
      <c r="G19" s="5"/>
      <c r="I19" t="str">
        <f t="shared" si="0"/>
        <v xml:space="preserve">      &lt;Thread&gt;</v>
      </c>
    </row>
    <row r="20" spans="1:9">
      <c r="A20" t="s">
        <v>22</v>
      </c>
      <c r="G20" s="5"/>
      <c r="I20" t="str">
        <f t="shared" si="0"/>
        <v xml:space="preserve">        &lt;Gender&gt;external&lt;/Gender&gt;</v>
      </c>
    </row>
    <row r="21" spans="1:9">
      <c r="A21" t="s">
        <v>23</v>
      </c>
      <c r="G21" s="8">
        <v>0.2</v>
      </c>
      <c r="I21" t="str">
        <f t="shared" si="0"/>
        <v xml:space="preserve">        &lt;Class&gt;0.2&lt;/Class&gt;</v>
      </c>
    </row>
    <row r="22" spans="1:9">
      <c r="A22" t="s">
        <v>24</v>
      </c>
      <c r="G22" s="9">
        <f>G14+0.5*G18-G36-G21</f>
        <v>5.14</v>
      </c>
      <c r="I22" t="str">
        <f t="shared" si="0"/>
        <v xml:space="preserve">        &lt;MajorDia&gt;5.14&lt;/MajorDia&gt;</v>
      </c>
    </row>
    <row r="23" spans="1:9">
      <c r="A23" t="s">
        <v>25</v>
      </c>
      <c r="G23" s="10" t="str">
        <f>FIXED(G14-G21/SIN(RADIANS(G11/2)),3)</f>
        <v>4.717</v>
      </c>
      <c r="I23" t="str">
        <f t="shared" si="0"/>
        <v xml:space="preserve">        &lt;PitchDia&gt;4.717&lt;/PitchDia&gt;</v>
      </c>
    </row>
    <row r="24" spans="1:9">
      <c r="A24" t="s">
        <v>26</v>
      </c>
      <c r="G24" s="9">
        <f>G14-0.5*G18+G36-G21</f>
        <v>4.46</v>
      </c>
      <c r="I24" t="str">
        <f t="shared" si="0"/>
        <v xml:space="preserve">        &lt;MinorDia&gt;4.46&lt;/MinorDia&gt;</v>
      </c>
    </row>
    <row r="25" spans="1:9">
      <c r="A25" t="s">
        <v>27</v>
      </c>
      <c r="G25" s="9"/>
      <c r="I25" t="str">
        <f t="shared" si="0"/>
        <v xml:space="preserve">      &lt;/Thread&gt;</v>
      </c>
    </row>
    <row r="26" spans="1:9">
      <c r="A26" t="s">
        <v>21</v>
      </c>
      <c r="G26" s="9"/>
      <c r="I26" t="str">
        <f t="shared" si="0"/>
        <v xml:space="preserve">      &lt;Thread&gt;</v>
      </c>
    </row>
    <row r="27" spans="1:9" ht="15.75" customHeight="1">
      <c r="A27" t="s">
        <v>28</v>
      </c>
      <c r="G27" s="5"/>
      <c r="I27" t="str">
        <f t="shared" si="0"/>
        <v xml:space="preserve">        &lt;Gender&gt;internal&lt;/Gender&gt;</v>
      </c>
    </row>
    <row r="28" spans="1:9">
      <c r="A28" t="s">
        <v>23</v>
      </c>
      <c r="G28" s="11">
        <v>0.2</v>
      </c>
      <c r="I28" t="str">
        <f t="shared" si="0"/>
        <v xml:space="preserve">        &lt;Class&gt;0.2&lt;/Class&gt;</v>
      </c>
    </row>
    <row r="29" spans="1:9">
      <c r="A29" t="s">
        <v>24</v>
      </c>
      <c r="G29" s="5">
        <f>G14+0.5*G18-G36+G28</f>
        <v>5.54</v>
      </c>
      <c r="I29" t="str">
        <f t="shared" si="0"/>
        <v xml:space="preserve">        &lt;MajorDia&gt;5.54&lt;/MajorDia&gt;</v>
      </c>
    </row>
    <row r="30" spans="1:9">
      <c r="A30" t="s">
        <v>25</v>
      </c>
      <c r="G30" s="10" t="str">
        <f>FIXED(G14+G28/SIN(RADIANS(G11/2)),3)</f>
        <v>5.283</v>
      </c>
      <c r="I30" t="str">
        <f t="shared" si="0"/>
        <v xml:space="preserve">        &lt;PitchDia&gt;5.283&lt;/PitchDia&gt;</v>
      </c>
    </row>
    <row r="31" spans="1:9">
      <c r="A31" t="s">
        <v>26</v>
      </c>
      <c r="G31" s="5">
        <f>G14-0.5*G18+G36+G28</f>
        <v>4.8600000000000003</v>
      </c>
      <c r="I31" t="str">
        <f t="shared" si="0"/>
        <v xml:space="preserve">        &lt;MinorDia&gt;4.86&lt;/MinorDia&gt;</v>
      </c>
    </row>
    <row r="32" spans="1:9">
      <c r="A32" t="s">
        <v>27</v>
      </c>
      <c r="G32" s="5"/>
      <c r="I32" t="str">
        <f t="shared" si="0"/>
        <v xml:space="preserve">      &lt;/Thread&gt;</v>
      </c>
    </row>
    <row r="33" spans="1:9">
      <c r="A33" t="s">
        <v>29</v>
      </c>
      <c r="G33" s="5"/>
      <c r="I33" t="str">
        <f t="shared" si="0"/>
        <v xml:space="preserve">    &lt;/Designation&gt;</v>
      </c>
    </row>
    <row r="34" spans="1:9">
      <c r="A34" t="s">
        <v>30</v>
      </c>
      <c r="G34" s="5"/>
      <c r="I34" t="str">
        <f t="shared" si="0"/>
        <v xml:space="preserve">  &lt;/ThreadSize&gt;</v>
      </c>
    </row>
    <row r="35" spans="1:9">
      <c r="A35" t="s">
        <v>31</v>
      </c>
      <c r="G35" s="5"/>
      <c r="I35" t="str">
        <f t="shared" si="0"/>
        <v>&lt;/ThreadType&gt;</v>
      </c>
    </row>
    <row r="36" spans="1:9">
      <c r="F36" t="s">
        <v>32</v>
      </c>
      <c r="G36" s="12" t="str">
        <f>FIXED(2*(1/10)*0.5*G18,3)</f>
        <v>0.085</v>
      </c>
    </row>
    <row r="38" spans="1:9">
      <c r="A38" s="1" t="s">
        <v>33</v>
      </c>
    </row>
    <row r="39" spans="1:9">
      <c r="A39" t="s">
        <v>34</v>
      </c>
    </row>
    <row r="40" spans="1:9">
      <c r="A40" t="s">
        <v>35</v>
      </c>
      <c r="H40" t="s">
        <v>1</v>
      </c>
    </row>
    <row r="41" spans="1:9">
      <c r="A41" t="s">
        <v>36</v>
      </c>
    </row>
    <row r="42" spans="1:9">
      <c r="A42" t="s">
        <v>37</v>
      </c>
    </row>
    <row r="43" spans="1:9">
      <c r="A43" t="s">
        <v>38</v>
      </c>
    </row>
    <row r="45" spans="1:9">
      <c r="B45" t="s">
        <v>39</v>
      </c>
      <c r="D45" t="s">
        <v>40</v>
      </c>
    </row>
    <row r="46" spans="1:9">
      <c r="B46" t="s">
        <v>41</v>
      </c>
      <c r="C46" t="s">
        <v>42</v>
      </c>
      <c r="D46" t="s">
        <v>41</v>
      </c>
      <c r="E46" t="s">
        <v>42</v>
      </c>
    </row>
    <row r="47" spans="1:9">
      <c r="A47" t="s">
        <v>43</v>
      </c>
      <c r="B47" s="13" t="s">
        <v>44</v>
      </c>
      <c r="C47" s="13" t="s">
        <v>44</v>
      </c>
      <c r="D47" s="13" t="s">
        <v>45</v>
      </c>
      <c r="E47" s="13" t="s">
        <v>45</v>
      </c>
    </row>
    <row r="48" spans="1:9">
      <c r="A48" t="s">
        <v>46</v>
      </c>
      <c r="B48" s="13" t="s">
        <v>45</v>
      </c>
      <c r="C48" s="13" t="s">
        <v>44</v>
      </c>
      <c r="D48" s="13" t="s">
        <v>45</v>
      </c>
      <c r="E48" s="13" t="s">
        <v>44</v>
      </c>
    </row>
    <row r="49" spans="1:5">
      <c r="A49" t="s">
        <v>47</v>
      </c>
      <c r="B49" s="13" t="s">
        <v>44</v>
      </c>
      <c r="C49" s="13" t="s">
        <v>45</v>
      </c>
      <c r="D49" s="13" t="s">
        <v>44</v>
      </c>
      <c r="E49" s="13" t="s">
        <v>45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Andie Garford-Tull</dc:creator>
  <cp:lastModifiedBy>Andie Garford-Tull</cp:lastModifiedBy>
  <dcterms:created xsi:type="dcterms:W3CDTF">2021-02-19T17:05:55Z</dcterms:created>
  <dcterms:modified xsi:type="dcterms:W3CDTF">2021-02-19T17:06:12Z</dcterms:modified>
</cp:coreProperties>
</file>